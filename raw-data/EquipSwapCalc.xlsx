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68c7b4e1553cfc/Games/Dragon Heir/"/>
    </mc:Choice>
  </mc:AlternateContent>
  <xr:revisionPtr revIDLastSave="415" documentId="8_{D4EE3340-F108-477E-B387-1CDE6FF74035}" xr6:coauthVersionLast="47" xr6:coauthVersionMax="47" xr10:uidLastSave="{C6F9A802-0CC7-4D3E-8E99-8D75F1ADAB7B}"/>
  <bookViews>
    <workbookView xWindow="-120" yWindow="-120" windowWidth="51840" windowHeight="21120" xr2:uid="{8C54824A-0DF8-4869-A925-21DEE97121B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16" i="1" s="1"/>
  <c r="F18" i="1"/>
  <c r="F17" i="1"/>
  <c r="D19" i="1"/>
  <c r="C19" i="1"/>
  <c r="E16" i="1"/>
  <c r="D5" i="1"/>
  <c r="C18" i="1"/>
  <c r="D17" i="1"/>
  <c r="D4" i="1"/>
  <c r="D3" i="1"/>
  <c r="E19" i="1" l="1"/>
  <c r="B19" i="1"/>
  <c r="B25" i="1" s="1"/>
  <c r="E17" i="1"/>
  <c r="E18" i="1"/>
  <c r="B7" i="1"/>
  <c r="D16" i="1"/>
  <c r="C16" i="1"/>
  <c r="D2" i="1"/>
  <c r="D7" i="1" s="1"/>
  <c r="B18" i="1"/>
  <c r="B24" i="1" s="1"/>
  <c r="B17" i="1"/>
  <c r="B23" i="1" s="1"/>
  <c r="B26" i="1" l="1"/>
  <c r="B22" i="1"/>
  <c r="D9" i="1"/>
  <c r="D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tc={2E16DA83-C6C9-4FD9-ABE7-323C1C312788}</author>
    <author>henry</author>
    <author>Henry Caetano Ávila de Andrade</author>
  </authors>
  <commentList>
    <comment ref="A5" authorId="0" shapeId="0" xr:uid="{2E16DA83-C6C9-4FD9-ABE7-323C1C3127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Opcional: use apenas para heróis de ataque básico (auto-attackers). Deixe 1.00 para heróis de habilidade. Valor = intervalo entre ataques em segundos (menor = mais rápido).</t>
      </text>
    </comment>
    <comment ref="C16" authorId="1" shapeId="0" xr:uid="{A911293E-231E-4D54-A079-3B7B3AF4B771}">
      <text>
        <r>
          <rPr>
            <b/>
            <sz val="9"/>
            <color indexed="81"/>
            <rFont val="Segoe UI"/>
            <family val="2"/>
          </rPr>
          <t>+1 ATK equivale a X pontos percentuais de Crit</t>
        </r>
      </text>
    </comment>
    <comment ref="D16" authorId="1" shapeId="0" xr:uid="{C27D3302-9EBD-4E3B-AA5F-6C9338EA60A8}">
      <text>
        <r>
          <rPr>
            <b/>
            <sz val="9"/>
            <color indexed="81"/>
            <rFont val="Segoe UI"/>
            <family val="2"/>
          </rPr>
          <t>+1 ATK equivale a X pontos percentuais de CritDmg</t>
        </r>
      </text>
    </comment>
    <comment ref="E16" authorId="1" shapeId="0" xr:uid="{2128AE37-D900-477B-95A2-EE4BCB269129}">
      <text>
        <r>
          <rPr>
            <b/>
            <sz val="9"/>
            <color indexed="81"/>
            <rFont val="Segoe UI"/>
            <family val="2"/>
          </rPr>
          <t>dDPS/dATK = (1 + Crit × CritDmg) / AtkInterval</t>
        </r>
      </text>
    </comment>
    <comment ref="F16" authorId="2" shapeId="0" xr:uid="{0F9A0D50-B9FA-4A1F-8945-54B19FFAC6A7}">
      <text>
        <r>
          <rPr>
            <b/>
            <sz val="9"/>
            <color indexed="81"/>
            <rFont val="Segoe UI"/>
            <family val="2"/>
          </rPr>
          <t>+1 ATK equivale a reduzir quantos segundos de interval?
= AtkInterval / ATK</t>
        </r>
      </text>
    </comment>
    <comment ref="E17" authorId="1" shapeId="0" xr:uid="{219113F0-0808-4FF4-BBF2-A898573B40F1}">
      <text>
        <r>
          <rPr>
            <b/>
            <sz val="9"/>
            <color indexed="81"/>
            <rFont val="Segoe UI"/>
            <family val="2"/>
          </rPr>
          <t>dDPS/dCrit = ATK × CritDmg / AtkInterval (por 1%)</t>
        </r>
      </text>
    </comment>
    <comment ref="F17" authorId="2" shapeId="0" xr:uid="{2CA90A71-880A-436D-8C88-DE996B35E82D}">
      <text>
        <r>
          <rPr>
            <b/>
            <sz val="9"/>
            <color indexed="81"/>
            <rFont val="Segoe UI"/>
            <family val="2"/>
          </rPr>
          <t>+1% Crit equivale a reduzir quantos segundos de interval?
= 0.01 × CritDmg × AtkInterval</t>
        </r>
      </text>
    </comment>
    <comment ref="E18" authorId="1" shapeId="0" xr:uid="{BA7C0137-DC32-4611-8190-7A7F70E28FF3}">
      <text>
        <r>
          <rPr>
            <b/>
            <sz val="9"/>
            <color indexed="81"/>
            <rFont val="Segoe UI"/>
            <family val="2"/>
          </rPr>
          <t>dDPS/dCritDmg = ATK × Crit / AtkInterval (por 1%)</t>
        </r>
      </text>
    </comment>
    <comment ref="F18" authorId="2" shapeId="0" xr:uid="{C30CC0C6-B49A-4C75-851D-2665F208BEB7}">
      <text>
        <r>
          <rPr>
            <b/>
            <sz val="9"/>
            <color indexed="81"/>
            <rFont val="Segoe UI"/>
            <family val="2"/>
          </rPr>
          <t>+1% CritDmg equivale a reduzir quantos segundos de interval?
= 0.01 × Crit × AtkInterval</t>
        </r>
      </text>
    </comment>
    <comment ref="B19" authorId="2" shapeId="0" xr:uid="{70E83765-DD6F-4458-896A-D69CDFFDD643}">
      <text>
        <r>
          <rPr>
            <b/>
            <sz val="9"/>
            <color indexed="81"/>
            <rFont val="Segoe UI"/>
            <family val="2"/>
          </rPr>
          <t>+0.01s de intervalo perde quanto ATK equivalente?
= ATK × 0.01 / AtkInterval</t>
        </r>
      </text>
    </comment>
    <comment ref="C19" authorId="2" shapeId="0" xr:uid="{F249205C-44AC-45E4-8AF5-66C8D014DD3C}">
      <text>
        <r>
          <rPr>
            <b/>
            <sz val="9"/>
            <color indexed="81"/>
            <rFont val="Segoe UI"/>
            <family val="2"/>
          </rPr>
          <t>+0.01s de intervalo perde quantos % de Crit equivalente?
= 0.01 / (CritDmg × AtkInterval)</t>
        </r>
      </text>
    </comment>
    <comment ref="D19" authorId="2" shapeId="0" xr:uid="{4FDC6768-43B9-4F4B-809C-CFA318E8AA82}">
      <text>
        <r>
          <rPr>
            <b/>
            <sz val="9"/>
            <color indexed="81"/>
            <rFont val="Segoe UI"/>
            <family val="2"/>
          </rPr>
          <t>+0.01s de intervalo perde quantos % de CritDmg equivalente?
= 0.01 / (Crit × AtkInterval)</t>
        </r>
      </text>
    </comment>
    <comment ref="E19" authorId="2" shapeId="0" xr:uid="{8DEFB4F7-26EB-48F3-BBFA-2C7CC7A7DE9D}">
      <text>
        <r>
          <rPr>
            <b/>
            <sz val="9"/>
            <color indexed="81"/>
            <rFont val="Segoe UI"/>
            <family val="2"/>
          </rPr>
          <t>dDPS/d(Interval) = ATK × (1 + Crit × CritDmg) / Interval² (por 0.01s)
Negativo no dano (mais intervalo = menos DPS), mas peso mostrado como valor absoluto</t>
        </r>
      </text>
    </comment>
  </commentList>
</comments>
</file>

<file path=xl/sharedStrings.xml><?xml version="1.0" encoding="utf-8"?>
<sst xmlns="http://schemas.openxmlformats.org/spreadsheetml/2006/main" count="29" uniqueCount="26">
  <si>
    <t>Atual</t>
  </si>
  <si>
    <t>Novo</t>
  </si>
  <si>
    <t>Variação</t>
  </si>
  <si>
    <t>ATK</t>
  </si>
  <si>
    <t>Chance Crit</t>
  </si>
  <si>
    <t>Dano Crit</t>
  </si>
  <si>
    <t>Dano Esperado</t>
  </si>
  <si>
    <t>Δ Dano</t>
  </si>
  <si>
    <t>Δ %</t>
  </si>
  <si>
    <t>⚔️ REGRAS DE TROCA RÁPIDA</t>
  </si>
  <si>
    <t>Se perder → precisa ganhar (mínimo) para compensar</t>
  </si>
  <si>
    <t>📊 Tabela de Equivalência (baseada nos stats atuais)</t>
  </si>
  <si>
    <t>1 ponto de...</t>
  </si>
  <si>
    <t>Peso no Dano</t>
  </si>
  <si>
    <t>+1 ATK</t>
  </si>
  <si>
    <t>+1% Crit</t>
  </si>
  <si>
    <t>+1% CritDmg</t>
  </si>
  <si>
    <t>👍 Regra de Bolso (troca vale a pena se:)</t>
  </si>
  <si>
    <t>➜</t>
  </si>
  <si>
    <t>⚡</t>
  </si>
  <si>
    <t>Equiv. ATK</t>
  </si>
  <si>
    <t>Equiv. Crit%</t>
  </si>
  <si>
    <t>Equiv. CritDmg%</t>
  </si>
  <si>
    <t>Atk Interval (s)</t>
  </si>
  <si>
    <t>+0.01s Interval</t>
  </si>
  <si>
    <t>Equiv. Interval(s)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</si>
</sst>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\+#,##0;\-#,##0;0"/>
    <numFmt numFmtId="166" formatCode="\+0.0%;\-0.0%;0.0%"/>
    <numFmt numFmtId="167" formatCode="\+0.00%;\-0.00%;0.00%"/>
    <numFmt numFmtId="168" formatCode="0.000%"/>
    <numFmt numFmtId="169" formatCode="#,##0.0"/>
    <numFmt numFmtId="170" formatCode="\+0.00;\-0.00;0.00"/>
    <numFmt numFmtId="171" formatCode="0.0000&quot;s&quot;"/>
    <numFmt numFmtId="172" formatCode="0.00&quot;s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5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10"/>
      <color rgb="FFB4C6E7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61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indexed="81"/>
      <name val="Segoe U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</fills>
  <borders count="16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medium">
        <color rgb="FFFFFFFF"/>
      </top>
      <bottom/>
      <diagonal/>
    </border>
    <border>
      <left style="thin">
        <color rgb="FFB4C6E7"/>
      </left>
      <right/>
      <top style="medium">
        <color rgb="FFFFFFFF"/>
      </top>
      <bottom/>
      <diagonal/>
    </border>
    <border>
      <left/>
      <right/>
      <top style="thin">
        <color rgb="FFB4C6E7"/>
      </top>
      <bottom/>
      <diagonal/>
    </border>
    <border>
      <left/>
      <right/>
      <top style="thin">
        <color rgb="FFB4C6E7"/>
      </top>
      <bottom style="medium">
        <color rgb="FF4472C4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B4C6E7"/>
      </left>
      <right/>
      <top style="thin">
        <color rgb="FFB4C6E7"/>
      </top>
      <bottom style="medium">
        <color rgb="FF4472C4"/>
      </bottom>
      <diagonal/>
    </border>
    <border>
      <left style="thin">
        <color rgb="FF1F3864"/>
      </left>
      <right/>
      <top/>
      <bottom/>
      <diagonal/>
    </border>
    <border>
      <left/>
      <right/>
      <top style="thin">
        <color rgb="FF1F3864"/>
      </top>
      <bottom/>
      <diagonal/>
    </border>
    <border>
      <left style="thin">
        <color rgb="FFB4C6E7"/>
      </left>
      <right/>
      <top style="thin">
        <color rgb="FF1F3864"/>
      </top>
      <bottom/>
      <diagonal/>
    </border>
    <border>
      <left/>
      <right/>
      <top/>
      <bottom style="medium">
        <color rgb="FF4472C4"/>
      </bottom>
      <diagonal/>
    </border>
    <border>
      <left/>
      <right style="thin">
        <color rgb="FFB4C6E7"/>
      </right>
      <top/>
      <bottom style="medium">
        <color rgb="FF4472C4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/>
      <bottom style="medium">
        <color rgb="FF4472C4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3" fontId="0" fillId="3" borderId="3" xfId="0" applyNumberForma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164" fontId="0" fillId="4" borderId="6" xfId="1" applyNumberFormat="1" applyFon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0" fontId="5" fillId="4" borderId="0" xfId="0" applyFont="1" applyFill="1"/>
    <xf numFmtId="0" fontId="0" fillId="4" borderId="0" xfId="0" applyFill="1"/>
    <xf numFmtId="0" fontId="4" fillId="5" borderId="0" xfId="0" applyFont="1" applyFill="1"/>
    <xf numFmtId="0" fontId="0" fillId="5" borderId="0" xfId="0" applyFill="1"/>
    <xf numFmtId="0" fontId="4" fillId="5" borderId="0" xfId="0" applyFont="1" applyFill="1" applyAlignment="1">
      <alignment horizontal="left"/>
    </xf>
    <xf numFmtId="3" fontId="4" fillId="5" borderId="8" xfId="0" applyNumberFormat="1" applyFont="1" applyFill="1" applyBorder="1" applyAlignment="1">
      <alignment horizontal="center"/>
    </xf>
    <xf numFmtId="0" fontId="0" fillId="5" borderId="8" xfId="0" applyFill="1" applyBorder="1"/>
    <xf numFmtId="0" fontId="3" fillId="3" borderId="9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3" borderId="10" xfId="0" applyFill="1" applyBorder="1"/>
    <xf numFmtId="0" fontId="0" fillId="4" borderId="7" xfId="0" applyFill="1" applyBorder="1"/>
    <xf numFmtId="165" fontId="6" fillId="3" borderId="10" xfId="0" applyNumberFormat="1" applyFont="1" applyFill="1" applyBorder="1" applyAlignment="1">
      <alignment horizontal="center"/>
    </xf>
    <xf numFmtId="167" fontId="6" fillId="4" borderId="7" xfId="1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68" fontId="11" fillId="3" borderId="0" xfId="0" applyNumberFormat="1" applyFont="1" applyFill="1" applyAlignment="1">
      <alignment horizontal="center"/>
    </xf>
    <xf numFmtId="4" fontId="10" fillId="3" borderId="0" xfId="0" applyNumberFormat="1" applyFont="1" applyFill="1" applyAlignment="1">
      <alignment horizontal="center"/>
    </xf>
    <xf numFmtId="0" fontId="12" fillId="4" borderId="4" xfId="0" applyFont="1" applyFill="1" applyBorder="1" applyAlignment="1">
      <alignment horizontal="center"/>
    </xf>
    <xf numFmtId="169" fontId="10" fillId="4" borderId="4" xfId="0" applyNumberFormat="1" applyFont="1" applyFill="1" applyBorder="1" applyAlignment="1">
      <alignment horizontal="center"/>
    </xf>
    <xf numFmtId="9" fontId="10" fillId="4" borderId="4" xfId="0" applyNumberFormat="1" applyFont="1" applyFill="1" applyBorder="1" applyAlignment="1">
      <alignment horizontal="center"/>
    </xf>
    <xf numFmtId="4" fontId="10" fillId="4" borderId="4" xfId="0" applyNumberFormat="1" applyFont="1" applyFill="1" applyBorder="1" applyAlignment="1">
      <alignment horizontal="center"/>
    </xf>
    <xf numFmtId="0" fontId="0" fillId="3" borderId="0" xfId="0" applyFill="1"/>
    <xf numFmtId="0" fontId="10" fillId="4" borderId="4" xfId="0" applyFont="1" applyFill="1" applyBorder="1" applyAlignment="1">
      <alignment horizontal="center"/>
    </xf>
    <xf numFmtId="0" fontId="0" fillId="4" borderId="4" xfId="0" applyFill="1" applyBorder="1"/>
    <xf numFmtId="0" fontId="10" fillId="3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left"/>
    </xf>
    <xf numFmtId="0" fontId="0" fillId="3" borderId="4" xfId="0" applyFill="1" applyBorder="1"/>
    <xf numFmtId="0" fontId="0" fillId="6" borderId="5" xfId="0" applyFill="1" applyBorder="1"/>
    <xf numFmtId="10" fontId="11" fillId="3" borderId="0" xfId="0" applyNumberFormat="1" applyFont="1" applyFill="1" applyAlignment="1">
      <alignment horizontal="center"/>
    </xf>
    <xf numFmtId="10" fontId="11" fillId="4" borderId="4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4" fillId="4" borderId="1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2" fontId="15" fillId="4" borderId="12" xfId="1" applyNumberFormat="1" applyFont="1" applyFill="1" applyBorder="1" applyAlignment="1">
      <alignment horizontal="center"/>
    </xf>
    <xf numFmtId="170" fontId="2" fillId="7" borderId="14" xfId="1" applyNumberFormat="1" applyFont="1" applyFill="1" applyBorder="1" applyAlignment="1">
      <alignment horizontal="center"/>
    </xf>
    <xf numFmtId="164" fontId="0" fillId="3" borderId="15" xfId="1" applyNumberFormat="1" applyFont="1" applyFill="1" applyBorder="1" applyAlignment="1">
      <alignment horizontal="center"/>
    </xf>
    <xf numFmtId="2" fontId="15" fillId="4" borderId="14" xfId="0" applyNumberFormat="1" applyFont="1" applyFill="1" applyBorder="1" applyAlignment="1">
      <alignment horizontal="center"/>
    </xf>
    <xf numFmtId="164" fontId="0" fillId="3" borderId="15" xfId="0" applyNumberFormat="1" applyFill="1" applyBorder="1" applyAlignment="1">
      <alignment horizontal="center"/>
    </xf>
    <xf numFmtId="165" fontId="2" fillId="7" borderId="3" xfId="0" applyNumberFormat="1" applyFont="1" applyFill="1" applyBorder="1" applyAlignment="1">
      <alignment horizontal="center"/>
    </xf>
    <xf numFmtId="166" fontId="2" fillId="7" borderId="6" xfId="1" applyNumberFormat="1" applyFont="1" applyFill="1" applyBorder="1" applyAlignment="1">
      <alignment horizontal="center"/>
    </xf>
    <xf numFmtId="166" fontId="2" fillId="7" borderId="15" xfId="1" applyNumberFormat="1" applyFont="1" applyFill="1" applyBorder="1" applyAlignment="1">
      <alignment horizontal="center"/>
    </xf>
    <xf numFmtId="172" fontId="16" fillId="4" borderId="5" xfId="0" applyNumberFormat="1" applyFont="1" applyFill="1" applyBorder="1" applyAlignment="1">
      <alignment horizontal="center"/>
    </xf>
    <xf numFmtId="0" fontId="17" fillId="4" borderId="11" xfId="0" applyFont="1" applyFill="1" applyBorder="1" applyAlignment="1">
      <alignment horizontal="center"/>
    </xf>
    <xf numFmtId="169" fontId="16" fillId="4" borderId="11" xfId="0" applyNumberFormat="1" applyFont="1" applyFill="1" applyBorder="1" applyAlignment="1">
      <alignment horizontal="center"/>
    </xf>
    <xf numFmtId="168" fontId="11" fillId="4" borderId="11" xfId="0" applyNumberFormat="1" applyFont="1" applyFill="1" applyBorder="1" applyAlignment="1">
      <alignment horizontal="center"/>
    </xf>
    <xf numFmtId="10" fontId="11" fillId="4" borderId="11" xfId="0" applyNumberFormat="1" applyFont="1" applyFill="1" applyBorder="1" applyAlignment="1">
      <alignment horizontal="center"/>
    </xf>
    <xf numFmtId="4" fontId="16" fillId="4" borderId="11" xfId="0" applyNumberFormat="1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169" fontId="10" fillId="3" borderId="13" xfId="0" applyNumberFormat="1" applyFont="1" applyFill="1" applyBorder="1" applyAlignment="1">
      <alignment horizontal="center"/>
    </xf>
    <xf numFmtId="10" fontId="11" fillId="3" borderId="13" xfId="0" applyNumberFormat="1" applyFont="1" applyFill="1" applyBorder="1" applyAlignment="1">
      <alignment horizontal="center"/>
    </xf>
    <xf numFmtId="9" fontId="10" fillId="3" borderId="13" xfId="0" applyNumberFormat="1" applyFont="1" applyFill="1" applyBorder="1" applyAlignment="1">
      <alignment horizontal="center"/>
    </xf>
    <xf numFmtId="4" fontId="10" fillId="3" borderId="13" xfId="0" applyNumberFormat="1" applyFont="1" applyFill="1" applyBorder="1" applyAlignment="1">
      <alignment horizontal="center"/>
    </xf>
    <xf numFmtId="171" fontId="11" fillId="3" borderId="0" xfId="0" applyNumberFormat="1" applyFont="1" applyFill="1" applyAlignment="1">
      <alignment horizontal="center"/>
    </xf>
    <xf numFmtId="171" fontId="11" fillId="4" borderId="4" xfId="0" applyNumberFormat="1" applyFont="1" applyFill="1" applyBorder="1" applyAlignment="1">
      <alignment horizontal="center"/>
    </xf>
    <xf numFmtId="171" fontId="11" fillId="3" borderId="4" xfId="0" applyNumberFormat="1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left"/>
    </xf>
    <xf numFmtId="0" fontId="0" fillId="0" borderId="4" xfId="0" applyBorder="1"/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nry Ávila" id="{8F025B68-8B0A-449F-9846-569E4BC5CDB0}" userId="1768c7b4e1553cfc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6-03-16T17:10:53.21" personId="{8F025B68-8B0A-449F-9846-569E4BC5CDB0}" id="{2E16DA83-C6C9-4FD9-ABE7-323C1C312788}">
    <text>Opcional: use apenas para heróis de ataque básico (auto-attackers). Deixe 1.00 para heróis de habilidade. Valor = intervalo entre ataques em segundos (menor = mais rápido).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0DCBC6-4F51-4625-BEA5-B11B2E111D36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  <we:property name="claude.fileId" value="&quot;c6cb97d6-6959-433c-91e7-a01247c23a0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18E0-B8FE-49EA-B6C4-C217B21701E2}">
  <dimension ref="A1:F26"/>
  <sheetViews>
    <sheetView tabSelected="1" zoomScale="145" zoomScaleNormal="145" workbookViewId="0">
      <selection activeCell="C4" sqref="C4"/>
    </sheetView>
  </sheetViews>
  <sheetFormatPr defaultRowHeight="15" x14ac:dyDescent="0.25"/>
  <cols>
    <col min="1" max="1" width="19" customWidth="1"/>
    <col min="2" max="4" width="15.28515625" customWidth="1"/>
    <col min="5" max="5" width="17.140625" customWidth="1"/>
    <col min="6" max="6" width="14.140625" bestFit="1" customWidth="1"/>
  </cols>
  <sheetData>
    <row r="1" spans="1:6" ht="15.75" thickBot="1" x14ac:dyDescent="0.3">
      <c r="A1" s="1"/>
      <c r="B1" s="2" t="s">
        <v>0</v>
      </c>
      <c r="C1" s="2" t="s">
        <v>2</v>
      </c>
      <c r="D1" s="2" t="s">
        <v>1</v>
      </c>
    </row>
    <row r="2" spans="1:6" x14ac:dyDescent="0.25">
      <c r="A2" s="3" t="s">
        <v>3</v>
      </c>
      <c r="B2" s="4">
        <f>766+1172</f>
        <v>1938</v>
      </c>
      <c r="C2" s="48"/>
      <c r="D2" s="4">
        <f>B2+C2</f>
        <v>1938</v>
      </c>
    </row>
    <row r="3" spans="1:6" x14ac:dyDescent="0.25">
      <c r="A3" s="5" t="s">
        <v>4</v>
      </c>
      <c r="B3" s="6">
        <v>0.29099999999999998</v>
      </c>
      <c r="C3" s="49"/>
      <c r="D3" s="7">
        <f>B3+C3</f>
        <v>0.29099999999999998</v>
      </c>
    </row>
    <row r="4" spans="1:6" x14ac:dyDescent="0.25">
      <c r="A4" s="42" t="s">
        <v>5</v>
      </c>
      <c r="B4" s="45">
        <v>0.82899999999999996</v>
      </c>
      <c r="C4" s="50"/>
      <c r="D4" s="47">
        <f>B4+C4</f>
        <v>0.82899999999999996</v>
      </c>
    </row>
    <row r="5" spans="1:6" ht="15.75" thickBot="1" x14ac:dyDescent="0.3">
      <c r="A5" s="41" t="s">
        <v>23</v>
      </c>
      <c r="B5" s="43">
        <v>1</v>
      </c>
      <c r="C5" s="44"/>
      <c r="D5" s="46">
        <f>B5+C5</f>
        <v>1</v>
      </c>
    </row>
    <row r="6" spans="1:6" ht="6" customHeight="1" x14ac:dyDescent="0.25">
      <c r="A6" s="8"/>
      <c r="B6" s="9"/>
      <c r="C6" s="9"/>
      <c r="D6" s="9"/>
    </row>
    <row r="7" spans="1:6" x14ac:dyDescent="0.25">
      <c r="A7" s="12" t="s">
        <v>6</v>
      </c>
      <c r="B7" s="13">
        <f>B2*(1+B3*B4)/B5</f>
        <v>2405.521182</v>
      </c>
      <c r="C7" s="14"/>
      <c r="D7" s="13">
        <f>D2*(1+D3*D4)/D5</f>
        <v>2405.521182</v>
      </c>
    </row>
    <row r="8" spans="1:6" x14ac:dyDescent="0.25">
      <c r="A8" s="15" t="s">
        <v>7</v>
      </c>
      <c r="B8" s="17"/>
      <c r="C8" s="17"/>
      <c r="D8" s="19">
        <f>D7-B7</f>
        <v>0</v>
      </c>
    </row>
    <row r="9" spans="1:6" ht="15.75" thickBot="1" x14ac:dyDescent="0.3">
      <c r="A9" s="16" t="s">
        <v>8</v>
      </c>
      <c r="B9" s="18"/>
      <c r="C9" s="18"/>
      <c r="D9" s="20">
        <f>D7/B7-1</f>
        <v>0</v>
      </c>
    </row>
    <row r="10" spans="1:6" ht="9.9499999999999993" customHeight="1" x14ac:dyDescent="0.25"/>
    <row r="11" spans="1:6" ht="17.25" x14ac:dyDescent="0.3">
      <c r="A11" s="68" t="s">
        <v>9</v>
      </c>
      <c r="B11" s="68"/>
      <c r="C11" s="68"/>
      <c r="D11" s="68"/>
      <c r="E11" s="68"/>
    </row>
    <row r="12" spans="1:6" x14ac:dyDescent="0.25">
      <c r="A12" s="69" t="s">
        <v>10</v>
      </c>
      <c r="B12" s="69"/>
      <c r="C12" s="69"/>
      <c r="D12" s="69"/>
      <c r="E12" s="69"/>
    </row>
    <row r="14" spans="1:6" x14ac:dyDescent="0.25">
      <c r="A14" s="10" t="s">
        <v>11</v>
      </c>
      <c r="B14" s="11"/>
      <c r="C14" s="11"/>
      <c r="D14" s="11"/>
      <c r="E14" s="11"/>
      <c r="F14" s="11"/>
    </row>
    <row r="15" spans="1:6" x14ac:dyDescent="0.25">
      <c r="A15" s="21" t="s">
        <v>12</v>
      </c>
      <c r="B15" s="21" t="s">
        <v>20</v>
      </c>
      <c r="C15" s="21" t="s">
        <v>21</v>
      </c>
      <c r="D15" s="21" t="s">
        <v>22</v>
      </c>
      <c r="E15" s="21" t="s">
        <v>13</v>
      </c>
      <c r="F15" s="21" t="s">
        <v>25</v>
      </c>
    </row>
    <row r="16" spans="1:6" x14ac:dyDescent="0.25">
      <c r="A16" s="22" t="s">
        <v>14</v>
      </c>
      <c r="B16" s="23">
        <v>1</v>
      </c>
      <c r="C16" s="24">
        <f>(1+$B$3*$B$4)/($B$2*$B$4)</f>
        <v>7.7258648999565551E-4</v>
      </c>
      <c r="D16" s="38">
        <f>(1+$B$3*$B$4)/($B$2*$B$3)</f>
        <v>2.2009422687505097E-3</v>
      </c>
      <c r="E16" s="25">
        <f>(1+$B$3*$B$4)/$B$5</f>
        <v>1.241239</v>
      </c>
      <c r="F16" s="62">
        <f>$B$5/$B$2</f>
        <v>5.1599587203302369E-4</v>
      </c>
    </row>
    <row r="17" spans="1:6" x14ac:dyDescent="0.25">
      <c r="A17" s="26" t="s">
        <v>15</v>
      </c>
      <c r="B17" s="27">
        <f>($B$2*$B$4)/(1+$B$3*$B$4)/100</f>
        <v>12.943534645624249</v>
      </c>
      <c r="C17" s="28">
        <v>0.01</v>
      </c>
      <c r="D17" s="39">
        <f>$B$4/$B$3/100</f>
        <v>2.8487972508591065E-2</v>
      </c>
      <c r="E17" s="29">
        <f>0.01*$B$2*$B$4/$B$5</f>
        <v>16.066019999999998</v>
      </c>
      <c r="F17" s="63">
        <f>0.01*$B$4*$B$5</f>
        <v>8.2900000000000005E-3</v>
      </c>
    </row>
    <row r="18" spans="1:6" x14ac:dyDescent="0.25">
      <c r="A18" s="57" t="s">
        <v>16</v>
      </c>
      <c r="B18" s="58">
        <f>($B$2*$B$3)/(1+$B$3*$B$4)/100</f>
        <v>4.5435085426738926</v>
      </c>
      <c r="C18" s="59">
        <f>$B$3/$B$4/100</f>
        <v>3.5102533172496984E-3</v>
      </c>
      <c r="D18" s="60">
        <v>0.01</v>
      </c>
      <c r="E18" s="61">
        <f>0.01*$B$2*$B$3/$B$5</f>
        <v>5.6395799999999996</v>
      </c>
      <c r="F18" s="64">
        <f>0.01*$B$3*$B$5</f>
        <v>2.9099999999999998E-3</v>
      </c>
    </row>
    <row r="19" spans="1:6" ht="16.5" customHeight="1" thickBot="1" x14ac:dyDescent="0.3">
      <c r="A19" s="52" t="s">
        <v>24</v>
      </c>
      <c r="B19" s="53">
        <f>$B$2*0.01/$B$5</f>
        <v>19.38</v>
      </c>
      <c r="C19" s="54">
        <f>0.01/($B$4*$B$5)</f>
        <v>1.2062726176115804E-2</v>
      </c>
      <c r="D19" s="55">
        <f>0.01/($B$3*$B$5)</f>
        <v>3.4364261168384883E-2</v>
      </c>
      <c r="E19" s="56">
        <f>0.01*$B$2*(1+$B$3*$B$4)/$B$5^2</f>
        <v>24.055211819999997</v>
      </c>
      <c r="F19" s="51">
        <v>0.01</v>
      </c>
    </row>
    <row r="20" spans="1:6" ht="8.1" customHeight="1" x14ac:dyDescent="0.25">
      <c r="F20" s="9"/>
    </row>
    <row r="21" spans="1:6" x14ac:dyDescent="0.25">
      <c r="A21" s="10" t="s">
        <v>17</v>
      </c>
      <c r="B21" s="11"/>
      <c r="C21" s="11"/>
      <c r="D21" s="11"/>
      <c r="E21" s="11"/>
      <c r="F21" s="11"/>
    </row>
    <row r="22" spans="1:6" x14ac:dyDescent="0.25">
      <c r="A22" s="23" t="s">
        <v>18</v>
      </c>
      <c r="B22" s="40" t="str">
        <f>"Cada -100 ATK precisa de +"&amp;TEXT(ROUND(C16*100*100,1),"0,0")&amp;"% Crit  OU  +"&amp;TEXT(ROUND(D16*100*100,1),"0,0")&amp;"% CritDmg"</f>
        <v>Cada -100 ATK precisa de +7,7% Crit  OU  +22,0% CritDmg</v>
      </c>
      <c r="E22" s="30"/>
      <c r="F22" s="9"/>
    </row>
    <row r="23" spans="1:6" x14ac:dyDescent="0.25">
      <c r="A23" s="31" t="s">
        <v>18</v>
      </c>
      <c r="B23" s="40" t="str">
        <f>"Cada -10% Crit precisa de +"&amp;TEXT(ROUND(B17*10,0),"0")&amp;" ATK  OU  +"&amp;TEXT(ROUND(D17*10*100,1),"0,0")&amp;"% CritDmg"</f>
        <v>Cada -10% Crit precisa de +129 ATK  OU  +28,5% CritDmg</v>
      </c>
      <c r="E23" s="32"/>
      <c r="F23" s="9"/>
    </row>
    <row r="24" spans="1:6" x14ac:dyDescent="0.25">
      <c r="A24" s="33" t="s">
        <v>18</v>
      </c>
      <c r="B24" s="40" t="str">
        <f>"Cada -10% CritDmg precisa de +"&amp;TEXT(ROUND(B18*10,0),"0")&amp;" ATK  OU  +"&amp;TEXT(ROUND(C18*10*100,1),"0,0")&amp;"% Crit"</f>
        <v>Cada -10% CritDmg precisa de +45 ATK  OU  +3,5% Crit</v>
      </c>
      <c r="E24" s="36"/>
      <c r="F24" s="9"/>
    </row>
    <row r="25" spans="1:6" x14ac:dyDescent="0.25">
      <c r="A25" s="65" t="s">
        <v>18</v>
      </c>
      <c r="B25" s="66" t="str">
        <f>"Cada +0.10s de Interval precisa de +"&amp;TEXT(ROUND(B19*10,0),"0")&amp;" ATK  OU  +"&amp;TEXT(ROUND(C19*10*100,1),"0,0")&amp;"% Crit  OU  +"&amp;TEXT(ROUND(D19*10*100,1),"0,0")&amp;"% CritDmg"</f>
        <v>Cada +0.10s de Interval precisa de +194 ATK  OU  +12,1% Crit  OU  +34,4% CritDmg</v>
      </c>
      <c r="C25" s="67"/>
      <c r="D25" s="67"/>
      <c r="E25" s="36"/>
      <c r="F25" s="9"/>
    </row>
    <row r="26" spans="1:6" ht="15.75" thickBot="1" x14ac:dyDescent="0.3">
      <c r="A26" s="34" t="s">
        <v>19</v>
      </c>
      <c r="B26" s="35" t="str">
        <f>_xlfn.LET(_xlpm.w,E16:E19,_xlpm.n,CHOOSE({1;2;3;4},"ATK","Crit%","CritDmg%","Interval"),_xlpm.s,_xlfn._xlws.SORT(_xlfn.HSTACK(_xlpm.w,_xlpm.n),1,-1),"Prioridade: "&amp;_xlfn.TEXTJOIN(" &gt; ",TRUE,INDEX(_xlpm.s,,2)))</f>
        <v>Prioridade: Interval &gt; Crit% &gt; CritDmg% &gt; ATK</v>
      </c>
      <c r="C26" s="37"/>
      <c r="D26" s="37"/>
      <c r="E26" s="37"/>
      <c r="F26" s="9"/>
    </row>
  </sheetData>
  <mergeCells count="2">
    <mergeCell ref="A11:E11"/>
    <mergeCell ref="A12:E12"/>
  </mergeCells>
  <conditionalFormatting sqref="C2:C6 D8:D9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Ávila</dc:creator>
  <cp:lastModifiedBy>Henry Ávila</cp:lastModifiedBy>
  <dcterms:created xsi:type="dcterms:W3CDTF">2026-03-12T08:51:45Z</dcterms:created>
  <dcterms:modified xsi:type="dcterms:W3CDTF">2026-04-10T13:16:06Z</dcterms:modified>
</cp:coreProperties>
</file>