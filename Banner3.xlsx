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68c7b4e1553cfc/Games/Dragon Heir/"/>
    </mc:Choice>
  </mc:AlternateContent>
  <xr:revisionPtr revIDLastSave="54993" documentId="13_ncr:1_{262EE159-B184-425D-89CE-AC234C8744CC}" xr6:coauthVersionLast="47" xr6:coauthVersionMax="47" xr10:uidLastSave="{5718FE73-4395-4516-9729-B7C0AC9B58FD}"/>
  <bookViews>
    <workbookView xWindow="-120" yWindow="-120" windowWidth="29040" windowHeight="15720" xr2:uid="{EE9F33AB-D55B-4562-9D1B-633090541E01}"/>
  </bookViews>
  <sheets>
    <sheet name="Planilha1" sheetId="1" r:id="rId1"/>
    <sheet name="Backup" sheetId="2" r:id="rId2"/>
  </sheets>
  <definedNames>
    <definedName name="solver_adj" localSheetId="0" hidden="1">Planilha1!$A$20:$A$29</definedName>
    <definedName name="solver_cvg" localSheetId="0" hidden="1">0.0001</definedName>
    <definedName name="solver_drv" localSheetId="0" hidden="1">2</definedName>
    <definedName name="solver_eng" localSheetId="0" hidden="1">3</definedName>
    <definedName name="solver_est" localSheetId="0" hidden="1">1</definedName>
    <definedName name="solver_itr" localSheetId="0" hidden="1">2147483647</definedName>
    <definedName name="solver_lhs1" localSheetId="0" hidden="1">Planilha1!$A$20:$A$29</definedName>
    <definedName name="solver_lhs2" localSheetId="0" hidden="1">Planilha1!$A$20:$A$29</definedName>
    <definedName name="solver_lhs3" localSheetId="0" hidden="1">Planilha1!$A$20:$A$29</definedName>
    <definedName name="solver_lhs4" localSheetId="0" hidden="1">Planilha1!$B$40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4</definedName>
    <definedName name="solver_nwt" localSheetId="0" hidden="1">1</definedName>
    <definedName name="solver_opt" localSheetId="0" hidden="1">Planilha1!$B$47</definedName>
    <definedName name="solver_pre" localSheetId="0" hidden="1">0.000001</definedName>
    <definedName name="solver_rbv" localSheetId="0" hidden="1">2</definedName>
    <definedName name="solver_rel1" localSheetId="0" hidden="1">1</definedName>
    <definedName name="solver_rel2" localSheetId="0" hidden="1">4</definedName>
    <definedName name="solver_rel3" localSheetId="0" hidden="1">3</definedName>
    <definedName name="solver_rel4" localSheetId="0" hidden="1">3</definedName>
    <definedName name="solver_rhs1" localSheetId="0" hidden="1">Planilha1!$C$20:$C$29</definedName>
    <definedName name="solver_rhs2" localSheetId="0" hidden="1">"número inteiro"</definedName>
    <definedName name="solver_rhs3" localSheetId="0" hidden="1">0</definedName>
    <definedName name="solver_rhs4" localSheetId="0" hidden="1">Planilha1!$B$4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5" i="1" l="1"/>
  <c r="L24" i="1"/>
  <c r="L23" i="1"/>
  <c r="L22" i="1"/>
  <c r="L21" i="1"/>
  <c r="L20" i="1"/>
  <c r="L19" i="1"/>
  <c r="L18" i="1"/>
  <c r="L17" i="1"/>
  <c r="L16" i="1"/>
  <c r="I32" i="1"/>
  <c r="K31" i="1"/>
  <c r="K25" i="1"/>
  <c r="K24" i="1"/>
  <c r="K23" i="1"/>
  <c r="K22" i="1"/>
  <c r="K21" i="1"/>
  <c r="K20" i="1"/>
  <c r="K19" i="1"/>
  <c r="K18" i="1"/>
  <c r="K17" i="1"/>
  <c r="K16" i="1"/>
  <c r="K13" i="1"/>
  <c r="B6" i="1"/>
  <c r="B35" i="1"/>
  <c r="E29" i="1"/>
  <c r="E28" i="1"/>
  <c r="F28" i="1" s="1"/>
  <c r="E27" i="1"/>
  <c r="E16" i="1"/>
  <c r="B36" i="1" s="1"/>
  <c r="D16" i="1"/>
  <c r="B34" i="1" s="1"/>
  <c r="C16" i="1"/>
  <c r="B33" i="1"/>
  <c r="D30" i="1"/>
  <c r="F26" i="1"/>
  <c r="F25" i="1"/>
  <c r="F24" i="1"/>
  <c r="F23" i="1"/>
  <c r="F22" i="1"/>
  <c r="F21" i="1"/>
  <c r="F20" i="1"/>
  <c r="B8" i="1"/>
  <c r="F19" i="2"/>
  <c r="F18" i="2"/>
  <c r="F17" i="2"/>
  <c r="E16" i="2"/>
  <c r="D16" i="2"/>
  <c r="F16" i="2" s="1"/>
  <c r="F15" i="2"/>
  <c r="F14" i="2"/>
  <c r="F13" i="2"/>
  <c r="F12" i="2"/>
  <c r="E11" i="2"/>
  <c r="F11" i="2" s="1"/>
  <c r="E10" i="2"/>
  <c r="F10" i="2" s="1"/>
  <c r="E9" i="2"/>
  <c r="F9" i="2" s="1"/>
  <c r="F8" i="2"/>
  <c r="F7" i="2"/>
  <c r="F6" i="2"/>
  <c r="F5" i="2"/>
  <c r="F4" i="2"/>
  <c r="F3" i="2"/>
  <c r="F2" i="2"/>
  <c r="B47" i="1" l="1"/>
  <c r="I33" i="1"/>
  <c r="F29" i="1"/>
  <c r="E30" i="1"/>
  <c r="F27" i="1"/>
  <c r="K4" i="1" l="1"/>
  <c r="I34" i="1"/>
  <c r="B37" i="1"/>
  <c r="B38" i="1" s="1"/>
  <c r="F30" i="1"/>
  <c r="B39" i="1" l="1"/>
  <c r="B40" i="1" l="1"/>
  <c r="I31" i="1" s="1"/>
  <c r="L31" i="1" s="1"/>
  <c r="B41" i="1"/>
  <c r="I35" i="1" s="1"/>
  <c r="L13" i="1" l="1"/>
  <c r="B43" i="1"/>
  <c r="B44" i="1" s="1"/>
</calcChain>
</file>

<file path=xl/sharedStrings.xml><?xml version="1.0" encoding="utf-8"?>
<sst xmlns="http://schemas.openxmlformats.org/spreadsheetml/2006/main" count="150" uniqueCount="121">
  <si>
    <t>price</t>
  </si>
  <si>
    <t>cristals</t>
  </si>
  <si>
    <t>name</t>
  </si>
  <si>
    <t>cost/crsital</t>
  </si>
  <si>
    <t>Today offer</t>
  </si>
  <si>
    <t>Treasure Market - seasonal</t>
  </si>
  <si>
    <t>Treasure Market - monthly</t>
  </si>
  <si>
    <t>Treasure Market - weekly</t>
  </si>
  <si>
    <t>Limit</t>
  </si>
  <si>
    <t>BUY</t>
  </si>
  <si>
    <t>🎯 DICE PLANNER</t>
  </si>
  <si>
    <t>STATUS</t>
  </si>
  <si>
    <t>Meta de Dices</t>
  </si>
  <si>
    <t>Cristais por Dice</t>
  </si>
  <si>
    <t>Cristais que tenho</t>
  </si>
  <si>
    <t>Dices que tenho</t>
  </si>
  <si>
    <t>Dices que faltam</t>
  </si>
  <si>
    <t>PACOTES ESPECIAIS</t>
  </si>
  <si>
    <t>Pacote</t>
  </si>
  <si>
    <t>Preço (R$)</t>
  </si>
  <si>
    <t>Dices</t>
  </si>
  <si>
    <t>Cristais</t>
  </si>
  <si>
    <t>Disponível?</t>
  </si>
  <si>
    <t>Total Pacotes</t>
  </si>
  <si>
    <t>LOJA DE CRISTAIS</t>
  </si>
  <si>
    <t>Item</t>
  </si>
  <si>
    <t>Limite</t>
  </si>
  <si>
    <t>R$/Cristal</t>
  </si>
  <si>
    <t>Total Loja</t>
  </si>
  <si>
    <t>📊 RESUMO FINAL</t>
  </si>
  <si>
    <t>Cristais que já tenho</t>
  </si>
  <si>
    <t>Dices que já tenho</t>
  </si>
  <si>
    <t>Dices dos Pacotes</t>
  </si>
  <si>
    <t>Cristais dos Pacotes</t>
  </si>
  <si>
    <t>Cristais da Loja</t>
  </si>
  <si>
    <t>Total de Cristais</t>
  </si>
  <si>
    <t>Dices com Cristais</t>
  </si>
  <si>
    <t>Total de Dices</t>
  </si>
  <si>
    <t>Cristais sobrando</t>
  </si>
  <si>
    <t>❌ Dices que FALTAM</t>
  </si>
  <si>
    <t>💰 Cristais para comprar</t>
  </si>
  <si>
    <t>💵 CUSTO TOTAL (R$)</t>
  </si>
  <si>
    <t>Total a gastar</t>
  </si>
  <si>
    <t>Baú de Cristais - 8000</t>
  </si>
  <si>
    <t>Baú de Cristais - 3850</t>
  </si>
  <si>
    <t>Baú de Cristais - 140</t>
  </si>
  <si>
    <t>Baú de Cristais - 1510</t>
  </si>
  <si>
    <t>Baú de Cristais - 740</t>
  </si>
  <si>
    <t>Baú de Cristais - 350</t>
  </si>
  <si>
    <t>🔧 SOLVER CONFIG</t>
  </si>
  <si>
    <t>🔧 CONFIGURAÇÃO DO SOLVER</t>
  </si>
  <si>
    <t>OBJETIVO</t>
  </si>
  <si>
    <t>Célula Objetivo</t>
  </si>
  <si>
    <t>B47</t>
  </si>
  <si>
    <t>Custo Total (R$)</t>
  </si>
  <si>
    <t>Direção</t>
  </si>
  <si>
    <t>MINIMIZAR</t>
  </si>
  <si>
    <t>VARIÁVEIS DE DECISÃO</t>
  </si>
  <si>
    <t>Pacotes Especiais</t>
  </si>
  <si>
    <t>A12:A15</t>
  </si>
  <si>
    <t>Qtd a comprar</t>
  </si>
  <si>
    <t>Loja de Cristais</t>
  </si>
  <si>
    <t>A20:A29</t>
  </si>
  <si>
    <t>RESTRIÇÕES</t>
  </si>
  <si>
    <t>Descrição</t>
  </si>
  <si>
    <t>Célula</t>
  </si>
  <si>
    <t>Operador</t>
  </si>
  <si>
    <t>Status</t>
  </si>
  <si>
    <t>Total Dices ≥ Meta</t>
  </si>
  <si>
    <t>B40</t>
  </si>
  <si>
    <t>≥</t>
  </si>
  <si>
    <t>A12:A15 inteiros ≥ 0</t>
  </si>
  <si>
    <t>int, ≥0</t>
  </si>
  <si>
    <t>-</t>
  </si>
  <si>
    <t>A20:A29 inteiros ≥ 0</t>
  </si>
  <si>
    <t>Baú 8000 ≤ Limite</t>
  </si>
  <si>
    <t>A20</t>
  </si>
  <si>
    <t>≤</t>
  </si>
  <si>
    <t>Baú 3850 ≤ Limite</t>
  </si>
  <si>
    <t>A21</t>
  </si>
  <si>
    <t>Baú 1510 ≤ Limite</t>
  </si>
  <si>
    <t>A22</t>
  </si>
  <si>
    <t>Baú 740 ≤ Limite</t>
  </si>
  <si>
    <t>A23</t>
  </si>
  <si>
    <t>Baú 350 ≤ Limite</t>
  </si>
  <si>
    <t>A24</t>
  </si>
  <si>
    <t>Baú 140 ≤ Limite</t>
  </si>
  <si>
    <t>A25</t>
  </si>
  <si>
    <t>Today offer ≤ Limite</t>
  </si>
  <si>
    <t>A26</t>
  </si>
  <si>
    <t>TM Seasonal ≤ Limite</t>
  </si>
  <si>
    <t>A27</t>
  </si>
  <si>
    <t>TM Monthly ≤ Limite</t>
  </si>
  <si>
    <t>A28</t>
  </si>
  <si>
    <t>TM Weekly ≤ Limite</t>
  </si>
  <si>
    <t>A29</t>
  </si>
  <si>
    <t>Pacotes (se houver)</t>
  </si>
  <si>
    <t>F12:F15</t>
  </si>
  <si>
    <t>RESULTADO ATUAL</t>
  </si>
  <si>
    <t>Total Dices</t>
  </si>
  <si>
    <t>de</t>
  </si>
  <si>
    <t>Custo Pacotes (R$)</t>
  </si>
  <si>
    <t>Custo Loja (R$)</t>
  </si>
  <si>
    <t>CUSTO TOTAL (R$)</t>
  </si>
  <si>
    <t>📋 PASSO A PASSO DO SOLVER</t>
  </si>
  <si>
    <t>1️⃣ Objetivo:</t>
  </si>
  <si>
    <t>B47 → Minimizar</t>
  </si>
  <si>
    <t>2️⃣ Variáveis:</t>
  </si>
  <si>
    <t>A20:A29 (Loja)</t>
  </si>
  <si>
    <t>3️⃣ Restrições:</t>
  </si>
  <si>
    <t xml:space="preserve">   • B40 &gt;= B4</t>
  </si>
  <si>
    <t>(total dices ≥ meta)</t>
  </si>
  <si>
    <t xml:space="preserve">   • A20:A29 &lt;= C20:C29</t>
  </si>
  <si>
    <t>(respeitar limites)</t>
  </si>
  <si>
    <t xml:space="preserve">   • A20:A29 = inteiro</t>
  </si>
  <si>
    <t>(qtd inteira)</t>
  </si>
  <si>
    <t xml:space="preserve">   • A20:A29 &gt;= 0</t>
  </si>
  <si>
    <t>(não negativo)</t>
  </si>
  <si>
    <t>4️⃣ Método:</t>
  </si>
  <si>
    <t>⚠️ Se tiver Pacotes, adicione A12:A15 como variáveis também</t>
  </si>
  <si>
    <t>Revolutionary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</si>
</sst>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_-&quot;R$&quot;\ * #,##0.0000_-;\-&quot;R$&quot;\ * #,##0.0000_-;_-&quot;R$&quot;\ * &quot;-&quot;??_-;_-@_-"/>
    <numFmt numFmtId="165" formatCode="\R&quot;R$&quot;\ #,##0.00"/>
    <numFmt numFmtId="168" formatCode="0.0000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FFFFFF"/>
      <name val="Aptos Narrow"/>
      <scheme val="minor"/>
    </font>
    <font>
      <b/>
      <sz val="11"/>
      <color rgb="FF1F3864"/>
      <name val="Aptos Narrow"/>
      <scheme val="minor"/>
    </font>
    <font>
      <sz val="11"/>
      <color theme="1"/>
      <name val="Aptos Narrow"/>
      <scheme val="minor"/>
    </font>
    <font>
      <sz val="11"/>
      <color rgb="FF0000FF"/>
      <name val="Aptos Narrow"/>
      <scheme val="minor"/>
    </font>
    <font>
      <b/>
      <sz val="11"/>
      <color rgb="FF0000FF"/>
      <name val="Aptos Narrow"/>
      <scheme val="minor"/>
    </font>
    <font>
      <b/>
      <sz val="11"/>
      <color theme="1"/>
      <name val="Aptos Narrow"/>
      <scheme val="minor"/>
    </font>
    <font>
      <b/>
      <sz val="11"/>
      <color rgb="FFC00000"/>
      <name val="Aptos Narrow"/>
      <scheme val="minor"/>
    </font>
    <font>
      <b/>
      <sz val="10"/>
      <color rgb="FFFFFFFF"/>
      <name val="Aptos Narrow"/>
      <scheme val="minor"/>
    </font>
    <font>
      <b/>
      <sz val="11"/>
      <color rgb="FF806000"/>
      <name val="Aptos Narrow"/>
      <scheme val="minor"/>
    </font>
    <font>
      <b/>
      <sz val="12"/>
      <color rgb="FFC00000"/>
      <name val="Aptos Narrow"/>
      <scheme val="minor"/>
    </font>
    <font>
      <b/>
      <sz val="12"/>
      <color rgb="FF1F3864"/>
      <name val="Aptos Narrow"/>
      <scheme val="minor"/>
    </font>
    <font>
      <b/>
      <sz val="12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1F3864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rgb="FF008000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10"/>
      <color rgb="FF1F3864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rgb="FFC00000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i/>
      <sz val="11"/>
      <color rgb="FF806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E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8">
    <xf numFmtId="0" fontId="0" fillId="0" borderId="0" xfId="0"/>
    <xf numFmtId="44" fontId="0" fillId="0" borderId="0" xfId="1" applyFont="1"/>
    <xf numFmtId="3" fontId="0" fillId="0" borderId="0" xfId="0" applyNumberFormat="1"/>
    <xf numFmtId="164" fontId="0" fillId="0" borderId="0" xfId="1" applyNumberFormat="1" applyFont="1"/>
    <xf numFmtId="164" fontId="0" fillId="0" borderId="0" xfId="0" applyNumberFormat="1"/>
    <xf numFmtId="0" fontId="3" fillId="3" borderId="0" xfId="0" applyFont="1" applyFill="1"/>
    <xf numFmtId="0" fontId="0" fillId="3" borderId="0" xfId="0" applyFill="1"/>
    <xf numFmtId="0" fontId="4" fillId="0" borderId="0" xfId="0" applyFont="1"/>
    <xf numFmtId="3" fontId="6" fillId="0" borderId="0" xfId="0" applyNumberFormat="1" applyFont="1"/>
    <xf numFmtId="0" fontId="7" fillId="0" borderId="0" xfId="0" applyFont="1"/>
    <xf numFmtId="3" fontId="8" fillId="0" borderId="0" xfId="0" applyNumberFormat="1" applyFont="1"/>
    <xf numFmtId="0" fontId="9" fillId="4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165" fontId="4" fillId="0" borderId="0" xfId="0" applyNumberFormat="1" applyFont="1"/>
    <xf numFmtId="0" fontId="4" fillId="0" borderId="0" xfId="0" applyFont="1" applyAlignment="1">
      <alignment horizontal="center"/>
    </xf>
    <xf numFmtId="3" fontId="4" fillId="0" borderId="0" xfId="0" applyNumberFormat="1" applyFont="1" applyAlignment="1">
      <alignment horizontal="center"/>
    </xf>
    <xf numFmtId="0" fontId="0" fillId="5" borderId="0" xfId="0" applyFill="1"/>
    <xf numFmtId="0" fontId="7" fillId="5" borderId="0" xfId="0" applyFont="1" applyFill="1"/>
    <xf numFmtId="165" fontId="7" fillId="5" borderId="0" xfId="0" applyNumberFormat="1" applyFont="1" applyFill="1"/>
    <xf numFmtId="3" fontId="7" fillId="5" borderId="0" xfId="0" applyNumberFormat="1" applyFont="1" applyFill="1" applyAlignment="1">
      <alignment horizontal="center"/>
    </xf>
    <xf numFmtId="165" fontId="4" fillId="0" borderId="0" xfId="1" applyNumberFormat="1" applyFont="1"/>
    <xf numFmtId="3" fontId="4" fillId="0" borderId="0" xfId="0" applyNumberFormat="1" applyFont="1"/>
    <xf numFmtId="3" fontId="7" fillId="0" borderId="0" xfId="0" applyNumberFormat="1" applyFont="1"/>
    <xf numFmtId="3" fontId="7" fillId="5" borderId="0" xfId="0" applyNumberFormat="1" applyFont="1" applyFill="1"/>
    <xf numFmtId="0" fontId="10" fillId="6" borderId="0" xfId="0" applyFont="1" applyFill="1"/>
    <xf numFmtId="0" fontId="0" fillId="6" borderId="0" xfId="0" applyFill="1"/>
    <xf numFmtId="0" fontId="11" fillId="0" borderId="0" xfId="0" applyFont="1"/>
    <xf numFmtId="3" fontId="11" fillId="7" borderId="0" xfId="0" applyNumberFormat="1" applyFont="1" applyFill="1"/>
    <xf numFmtId="0" fontId="12" fillId="3" borderId="0" xfId="0" applyFont="1" applyFill="1"/>
    <xf numFmtId="0" fontId="13" fillId="0" borderId="0" xfId="0" applyFont="1"/>
    <xf numFmtId="165" fontId="13" fillId="5" borderId="0" xfId="0" applyNumberFormat="1" applyFont="1" applyFill="1"/>
    <xf numFmtId="0" fontId="2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0" fillId="2" borderId="0" xfId="0" applyFill="1"/>
    <xf numFmtId="0" fontId="16" fillId="3" borderId="0" xfId="0" applyFont="1" applyFill="1"/>
    <xf numFmtId="0" fontId="17" fillId="7" borderId="0" xfId="0" applyFont="1" applyFill="1"/>
    <xf numFmtId="0" fontId="18" fillId="0" borderId="0" xfId="0" applyFont="1"/>
    <xf numFmtId="0" fontId="14" fillId="0" borderId="0" xfId="0" applyFont="1"/>
    <xf numFmtId="0" fontId="19" fillId="4" borderId="0" xfId="0" applyFont="1" applyFill="1" applyAlignment="1">
      <alignment horizontal="center"/>
    </xf>
    <xf numFmtId="0" fontId="20" fillId="3" borderId="0" xfId="0" applyFont="1" applyFill="1" applyAlignment="1">
      <alignment horizontal="center"/>
    </xf>
    <xf numFmtId="0" fontId="21" fillId="4" borderId="0" xfId="0" applyFont="1" applyFill="1" applyAlignment="1">
      <alignment horizontal="center"/>
    </xf>
    <xf numFmtId="0" fontId="22" fillId="0" borderId="0" xfId="0" applyFont="1"/>
    <xf numFmtId="0" fontId="23" fillId="7" borderId="0" xfId="0" applyFont="1" applyFill="1"/>
    <xf numFmtId="0" fontId="24" fillId="2" borderId="0" xfId="0" applyFont="1" applyFill="1"/>
    <xf numFmtId="0" fontId="25" fillId="0" borderId="0" xfId="0" applyFont="1"/>
    <xf numFmtId="168" fontId="4" fillId="0" borderId="0" xfId="0" applyNumberFormat="1" applyFont="1"/>
    <xf numFmtId="168" fontId="4" fillId="0" borderId="0" xfId="1" applyNumberFormat="1" applyFont="1"/>
    <xf numFmtId="168" fontId="7" fillId="5" borderId="0" xfId="0" applyNumberFormat="1" applyFont="1" applyFill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09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3B1653C-3FFA-4C68-903A-1B8879A5A3E1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940A6-111D-419E-9FB7-3ACE8CB61250}">
  <dimension ref="A1:L47"/>
  <sheetViews>
    <sheetView tabSelected="1" topLeftCell="A15" workbookViewId="0">
      <selection activeCell="B27" sqref="B27:D27"/>
    </sheetView>
  </sheetViews>
  <sheetFormatPr defaultRowHeight="15" x14ac:dyDescent="0.25"/>
  <cols>
    <col min="1" max="1" width="25.140625" bestFit="1" customWidth="1"/>
    <col min="2" max="2" width="35.28515625" customWidth="1"/>
    <col min="3" max="6" width="19" customWidth="1"/>
    <col min="7" max="7" width="6" customWidth="1"/>
    <col min="8" max="8" width="30.42578125" customWidth="1"/>
    <col min="9" max="9" width="15.28515625" customWidth="1"/>
    <col min="10" max="10" width="12.42578125" customWidth="1"/>
    <col min="12" max="12" width="24.7109375" customWidth="1"/>
  </cols>
  <sheetData>
    <row r="1" spans="1:12" ht="18.75" x14ac:dyDescent="0.3">
      <c r="A1" s="31" t="s">
        <v>10</v>
      </c>
      <c r="B1" s="31"/>
      <c r="C1" s="31"/>
      <c r="D1" s="31"/>
      <c r="E1" s="31"/>
      <c r="F1" s="31"/>
      <c r="H1" s="32" t="s">
        <v>50</v>
      </c>
      <c r="I1" s="33"/>
      <c r="J1" s="33"/>
      <c r="K1" s="33"/>
      <c r="L1" s="33"/>
    </row>
    <row r="3" spans="1:12" x14ac:dyDescent="0.25">
      <c r="A3" s="5" t="s">
        <v>11</v>
      </c>
      <c r="B3" s="6"/>
      <c r="C3" t="s">
        <v>49</v>
      </c>
      <c r="H3" s="34" t="s">
        <v>51</v>
      </c>
      <c r="I3" s="6"/>
      <c r="J3" s="6"/>
      <c r="K3" s="6"/>
      <c r="L3" s="6"/>
    </row>
    <row r="4" spans="1:12" x14ac:dyDescent="0.25">
      <c r="A4" s="7" t="s">
        <v>12</v>
      </c>
      <c r="B4" s="8">
        <v>270</v>
      </c>
      <c r="H4" t="s">
        <v>52</v>
      </c>
      <c r="I4" t="s">
        <v>53</v>
      </c>
      <c r="J4" t="s">
        <v>54</v>
      </c>
      <c r="K4" s="35">
        <f>B47</f>
        <v>500</v>
      </c>
    </row>
    <row r="5" spans="1:12" x14ac:dyDescent="0.25">
      <c r="A5" s="7" t="s">
        <v>13</v>
      </c>
      <c r="B5" s="8">
        <v>100</v>
      </c>
      <c r="H5" t="s">
        <v>55</v>
      </c>
      <c r="I5" s="36" t="s">
        <v>56</v>
      </c>
    </row>
    <row r="6" spans="1:12" x14ac:dyDescent="0.25">
      <c r="A6" s="7" t="s">
        <v>14</v>
      </c>
      <c r="B6" s="8">
        <f>2600+1570</f>
        <v>4170</v>
      </c>
    </row>
    <row r="7" spans="1:12" x14ac:dyDescent="0.25">
      <c r="A7" s="7" t="s">
        <v>15</v>
      </c>
      <c r="B7" s="8">
        <v>115</v>
      </c>
      <c r="H7" s="34" t="s">
        <v>57</v>
      </c>
      <c r="I7" s="6"/>
      <c r="J7" s="6"/>
      <c r="K7" s="6"/>
      <c r="L7" s="6"/>
    </row>
    <row r="8" spans="1:12" x14ac:dyDescent="0.25">
      <c r="A8" s="9" t="s">
        <v>16</v>
      </c>
      <c r="B8" s="10">
        <f>B4-B7</f>
        <v>155</v>
      </c>
      <c r="H8" t="s">
        <v>58</v>
      </c>
      <c r="I8" s="37" t="s">
        <v>59</v>
      </c>
      <c r="J8" t="s">
        <v>60</v>
      </c>
    </row>
    <row r="9" spans="1:12" x14ac:dyDescent="0.25">
      <c r="H9" t="s">
        <v>61</v>
      </c>
      <c r="I9" s="37" t="s">
        <v>62</v>
      </c>
      <c r="J9" t="s">
        <v>60</v>
      </c>
    </row>
    <row r="10" spans="1:12" x14ac:dyDescent="0.25">
      <c r="A10" s="5" t="s">
        <v>17</v>
      </c>
      <c r="B10" s="6"/>
      <c r="C10" s="6"/>
      <c r="D10" s="6"/>
      <c r="E10" s="6"/>
      <c r="F10" s="6"/>
    </row>
    <row r="11" spans="1:12" x14ac:dyDescent="0.25">
      <c r="A11" s="11" t="s">
        <v>9</v>
      </c>
      <c r="B11" s="11" t="s">
        <v>18</v>
      </c>
      <c r="C11" s="11" t="s">
        <v>19</v>
      </c>
      <c r="D11" s="11" t="s">
        <v>20</v>
      </c>
      <c r="E11" s="11" t="s">
        <v>21</v>
      </c>
      <c r="F11" s="11" t="s">
        <v>22</v>
      </c>
      <c r="H11" s="39" t="s">
        <v>63</v>
      </c>
      <c r="I11" s="6"/>
      <c r="J11" s="6"/>
      <c r="K11" s="6"/>
      <c r="L11" s="6"/>
    </row>
    <row r="12" spans="1:12" x14ac:dyDescent="0.25">
      <c r="A12" s="12">
        <v>0</v>
      </c>
      <c r="B12" s="7"/>
      <c r="C12" s="13"/>
      <c r="D12" s="15"/>
      <c r="E12" s="15"/>
      <c r="F12" s="14"/>
      <c r="H12" s="40" t="s">
        <v>64</v>
      </c>
      <c r="I12" s="40" t="s">
        <v>65</v>
      </c>
      <c r="J12" s="40" t="s">
        <v>66</v>
      </c>
      <c r="K12" s="40" t="s">
        <v>26</v>
      </c>
      <c r="L12" s="40" t="s">
        <v>67</v>
      </c>
    </row>
    <row r="13" spans="1:12" x14ac:dyDescent="0.25">
      <c r="A13" s="12">
        <v>0</v>
      </c>
      <c r="B13" s="7"/>
      <c r="C13" s="13"/>
      <c r="D13" s="15"/>
      <c r="E13" s="15"/>
      <c r="F13" s="14"/>
      <c r="H13" t="s">
        <v>68</v>
      </c>
      <c r="I13" t="s">
        <v>69</v>
      </c>
      <c r="J13" t="s">
        <v>70</v>
      </c>
      <c r="K13">
        <f>B4</f>
        <v>270</v>
      </c>
      <c r="L13" s="2">
        <f>B40-B4</f>
        <v>6.6999999999999886</v>
      </c>
    </row>
    <row r="14" spans="1:12" x14ac:dyDescent="0.25">
      <c r="A14" s="12">
        <v>0</v>
      </c>
      <c r="B14" s="7"/>
      <c r="C14" s="13"/>
      <c r="D14" s="15"/>
      <c r="E14" s="15"/>
      <c r="F14" s="14"/>
      <c r="H14" t="s">
        <v>71</v>
      </c>
      <c r="I14" t="s">
        <v>59</v>
      </c>
      <c r="J14" t="s">
        <v>72</v>
      </c>
      <c r="K14" t="s">
        <v>73</v>
      </c>
      <c r="L14" t="s">
        <v>73</v>
      </c>
    </row>
    <row r="15" spans="1:12" x14ac:dyDescent="0.25">
      <c r="A15" s="12">
        <v>0</v>
      </c>
      <c r="B15" s="7"/>
      <c r="C15" s="13"/>
      <c r="D15" s="15"/>
      <c r="E15" s="15"/>
      <c r="F15" s="14"/>
      <c r="H15" t="s">
        <v>74</v>
      </c>
      <c r="I15" t="s">
        <v>62</v>
      </c>
      <c r="J15" t="s">
        <v>72</v>
      </c>
      <c r="K15" t="s">
        <v>73</v>
      </c>
      <c r="L15" t="s">
        <v>73</v>
      </c>
    </row>
    <row r="16" spans="1:12" x14ac:dyDescent="0.25">
      <c r="A16" s="16"/>
      <c r="B16" s="17" t="s">
        <v>23</v>
      </c>
      <c r="C16" s="18">
        <f>SUMPRODUCT(A12:A15,C12:C15)</f>
        <v>0</v>
      </c>
      <c r="D16" s="19">
        <f>SUMPRODUCT(A12:A15,D12:D15)</f>
        <v>0</v>
      </c>
      <c r="E16" s="19">
        <f>SUMPRODUCT(A12:A15,E12:E15)</f>
        <v>0</v>
      </c>
      <c r="F16" s="16"/>
      <c r="H16" t="s">
        <v>75</v>
      </c>
      <c r="I16" t="s">
        <v>76</v>
      </c>
      <c r="J16" t="s">
        <v>77</v>
      </c>
      <c r="K16">
        <f>C20</f>
        <v>99</v>
      </c>
      <c r="L16">
        <f>C20-A20</f>
        <v>99</v>
      </c>
    </row>
    <row r="17" spans="1:12" x14ac:dyDescent="0.25">
      <c r="H17" t="s">
        <v>78</v>
      </c>
      <c r="I17" t="s">
        <v>79</v>
      </c>
      <c r="J17" t="s">
        <v>77</v>
      </c>
      <c r="K17">
        <f>C21</f>
        <v>99</v>
      </c>
      <c r="L17">
        <f>C21-A21</f>
        <v>99</v>
      </c>
    </row>
    <row r="18" spans="1:12" x14ac:dyDescent="0.25">
      <c r="A18" s="5" t="s">
        <v>24</v>
      </c>
      <c r="B18" s="6"/>
      <c r="C18" s="6"/>
      <c r="D18" s="6"/>
      <c r="E18" s="6"/>
      <c r="F18" s="6"/>
      <c r="H18" t="s">
        <v>80</v>
      </c>
      <c r="I18" t="s">
        <v>81</v>
      </c>
      <c r="J18" t="s">
        <v>77</v>
      </c>
      <c r="K18">
        <f>C22</f>
        <v>99</v>
      </c>
      <c r="L18">
        <f>C22-A22</f>
        <v>99</v>
      </c>
    </row>
    <row r="19" spans="1:12" x14ac:dyDescent="0.25">
      <c r="A19" s="11" t="s">
        <v>9</v>
      </c>
      <c r="B19" s="11" t="s">
        <v>25</v>
      </c>
      <c r="C19" s="11" t="s">
        <v>26</v>
      </c>
      <c r="D19" s="11" t="s">
        <v>19</v>
      </c>
      <c r="E19" s="11" t="s">
        <v>21</v>
      </c>
      <c r="F19" s="11" t="s">
        <v>27</v>
      </c>
      <c r="H19" s="38" t="s">
        <v>82</v>
      </c>
      <c r="I19" s="38" t="s">
        <v>83</v>
      </c>
      <c r="J19" s="38" t="s">
        <v>77</v>
      </c>
      <c r="K19">
        <f>C23</f>
        <v>99</v>
      </c>
      <c r="L19">
        <f>C23-A23</f>
        <v>99</v>
      </c>
    </row>
    <row r="20" spans="1:12" x14ac:dyDescent="0.25">
      <c r="A20" s="12">
        <v>0</v>
      </c>
      <c r="B20" s="7" t="s">
        <v>43</v>
      </c>
      <c r="C20" s="14">
        <v>99</v>
      </c>
      <c r="D20" s="13">
        <v>500</v>
      </c>
      <c r="E20" s="15">
        <v>8000</v>
      </c>
      <c r="F20" s="45">
        <f t="shared" ref="F20:F30" si="0">IFERROR(D20/E20,"")</f>
        <v>6.25E-2</v>
      </c>
      <c r="H20" t="s">
        <v>84</v>
      </c>
      <c r="I20" t="s">
        <v>85</v>
      </c>
      <c r="J20" t="s">
        <v>77</v>
      </c>
      <c r="K20">
        <f>C24</f>
        <v>99</v>
      </c>
      <c r="L20">
        <f>C24-A24</f>
        <v>99</v>
      </c>
    </row>
    <row r="21" spans="1:12" x14ac:dyDescent="0.25">
      <c r="A21" s="12">
        <v>0</v>
      </c>
      <c r="B21" s="7" t="s">
        <v>44</v>
      </c>
      <c r="C21" s="14">
        <v>99</v>
      </c>
      <c r="D21" s="20">
        <v>250</v>
      </c>
      <c r="E21" s="15">
        <v>3850</v>
      </c>
      <c r="F21" s="46">
        <f t="shared" si="0"/>
        <v>6.4935064935064929E-2</v>
      </c>
      <c r="H21" t="s">
        <v>86</v>
      </c>
      <c r="I21" t="s">
        <v>87</v>
      </c>
      <c r="J21" t="s">
        <v>77</v>
      </c>
      <c r="K21">
        <f>C25</f>
        <v>1</v>
      </c>
      <c r="L21">
        <f>C25-A25</f>
        <v>1</v>
      </c>
    </row>
    <row r="22" spans="1:12" x14ac:dyDescent="0.25">
      <c r="A22" s="12">
        <v>0</v>
      </c>
      <c r="B22" s="7" t="s">
        <v>46</v>
      </c>
      <c r="C22" s="14">
        <v>99</v>
      </c>
      <c r="D22" s="20">
        <v>100</v>
      </c>
      <c r="E22" s="15">
        <v>1510</v>
      </c>
      <c r="F22" s="46">
        <f t="shared" si="0"/>
        <v>6.6225165562913912E-2</v>
      </c>
      <c r="H22" t="s">
        <v>88</v>
      </c>
      <c r="I22" t="s">
        <v>89</v>
      </c>
      <c r="J22" t="s">
        <v>77</v>
      </c>
      <c r="K22">
        <f>C26</f>
        <v>1</v>
      </c>
      <c r="L22">
        <f>C26-A26</f>
        <v>1</v>
      </c>
    </row>
    <row r="23" spans="1:12" x14ac:dyDescent="0.25">
      <c r="A23" s="12">
        <v>0</v>
      </c>
      <c r="B23" s="7" t="s">
        <v>47</v>
      </c>
      <c r="C23" s="14">
        <v>99</v>
      </c>
      <c r="D23" s="20">
        <v>50</v>
      </c>
      <c r="E23" s="15">
        <v>740</v>
      </c>
      <c r="F23" s="46">
        <f t="shared" si="0"/>
        <v>6.7567567567567571E-2</v>
      </c>
      <c r="H23" t="s">
        <v>90</v>
      </c>
      <c r="I23" t="s">
        <v>91</v>
      </c>
      <c r="J23" t="s">
        <v>77</v>
      </c>
      <c r="K23">
        <f>C27</f>
        <v>1</v>
      </c>
      <c r="L23">
        <f>C27-A27</f>
        <v>0</v>
      </c>
    </row>
    <row r="24" spans="1:12" x14ac:dyDescent="0.25">
      <c r="A24" s="12">
        <v>0</v>
      </c>
      <c r="B24" s="7" t="s">
        <v>48</v>
      </c>
      <c r="C24" s="14">
        <v>99</v>
      </c>
      <c r="D24" s="20">
        <v>25</v>
      </c>
      <c r="E24" s="15">
        <v>350</v>
      </c>
      <c r="F24" s="46">
        <f t="shared" si="0"/>
        <v>7.1428571428571425E-2</v>
      </c>
      <c r="H24" t="s">
        <v>92</v>
      </c>
      <c r="I24" t="s">
        <v>93</v>
      </c>
      <c r="J24" t="s">
        <v>77</v>
      </c>
      <c r="K24">
        <f>C28</f>
        <v>1</v>
      </c>
      <c r="L24">
        <f>C28-A28</f>
        <v>1</v>
      </c>
    </row>
    <row r="25" spans="1:12" x14ac:dyDescent="0.25">
      <c r="A25" s="12">
        <v>0</v>
      </c>
      <c r="B25" s="7" t="s">
        <v>45</v>
      </c>
      <c r="C25" s="14">
        <v>1</v>
      </c>
      <c r="D25" s="20">
        <v>5</v>
      </c>
      <c r="E25" s="15">
        <v>140</v>
      </c>
      <c r="F25" s="46">
        <f t="shared" si="0"/>
        <v>3.5714285714285712E-2</v>
      </c>
      <c r="H25" t="s">
        <v>94</v>
      </c>
      <c r="I25" t="s">
        <v>95</v>
      </c>
      <c r="J25" t="s">
        <v>77</v>
      </c>
      <c r="K25">
        <f>C29</f>
        <v>1</v>
      </c>
      <c r="L25">
        <f>C29-A29</f>
        <v>1</v>
      </c>
    </row>
    <row r="26" spans="1:12" x14ac:dyDescent="0.25">
      <c r="A26" s="12">
        <v>0</v>
      </c>
      <c r="B26" s="7" t="s">
        <v>4</v>
      </c>
      <c r="C26" s="14">
        <v>1</v>
      </c>
      <c r="D26" s="20">
        <v>5</v>
      </c>
      <c r="E26" s="15">
        <v>100</v>
      </c>
      <c r="F26" s="46">
        <f t="shared" si="0"/>
        <v>0.05</v>
      </c>
    </row>
    <row r="27" spans="1:12" x14ac:dyDescent="0.25">
      <c r="A27" s="12">
        <v>1</v>
      </c>
      <c r="B27" s="7" t="s">
        <v>5</v>
      </c>
      <c r="C27" s="14">
        <v>1</v>
      </c>
      <c r="D27" s="20">
        <v>500</v>
      </c>
      <c r="E27" s="15">
        <f>50*100+7000</f>
        <v>12000</v>
      </c>
      <c r="F27" s="46">
        <f t="shared" si="0"/>
        <v>4.1666666666666664E-2</v>
      </c>
      <c r="H27" s="41" t="s">
        <v>96</v>
      </c>
      <c r="I27" t="s">
        <v>59</v>
      </c>
      <c r="J27" t="s">
        <v>77</v>
      </c>
      <c r="K27" t="s">
        <v>97</v>
      </c>
      <c r="L27" t="s">
        <v>73</v>
      </c>
    </row>
    <row r="28" spans="1:12" x14ac:dyDescent="0.25">
      <c r="A28" s="12">
        <v>0</v>
      </c>
      <c r="B28" s="7" t="s">
        <v>6</v>
      </c>
      <c r="C28" s="14">
        <v>1</v>
      </c>
      <c r="D28" s="20">
        <v>100</v>
      </c>
      <c r="E28" s="15">
        <f>15*100+1400</f>
        <v>2900</v>
      </c>
      <c r="F28" s="46">
        <f t="shared" si="0"/>
        <v>3.4482758620689655E-2</v>
      </c>
    </row>
    <row r="29" spans="1:12" x14ac:dyDescent="0.25">
      <c r="A29" s="12">
        <v>0</v>
      </c>
      <c r="B29" s="7" t="s">
        <v>7</v>
      </c>
      <c r="C29" s="14">
        <v>1</v>
      </c>
      <c r="D29" s="20">
        <v>100</v>
      </c>
      <c r="E29" s="15">
        <f>15*100+1400</f>
        <v>2900</v>
      </c>
      <c r="F29" s="45">
        <f t="shared" si="0"/>
        <v>3.4482758620689655E-2</v>
      </c>
      <c r="G29" s="2"/>
    </row>
    <row r="30" spans="1:12" x14ac:dyDescent="0.25">
      <c r="A30" s="16"/>
      <c r="B30" s="17" t="s">
        <v>28</v>
      </c>
      <c r="C30" s="16"/>
      <c r="D30" s="18">
        <f>SUMPRODUCT(A20:A29,D20:D29)</f>
        <v>500</v>
      </c>
      <c r="E30" s="19">
        <f>SUMPRODUCT(A20:A29,E20:E29)</f>
        <v>12000</v>
      </c>
      <c r="F30" s="47">
        <f t="shared" si="0"/>
        <v>4.1666666666666664E-2</v>
      </c>
      <c r="H30" s="34" t="s">
        <v>98</v>
      </c>
      <c r="I30" s="6"/>
      <c r="J30" s="6"/>
      <c r="K30" s="6"/>
      <c r="L30" s="6"/>
    </row>
    <row r="31" spans="1:12" x14ac:dyDescent="0.25">
      <c r="E31" s="2"/>
      <c r="F31" s="4"/>
      <c r="H31" t="s">
        <v>99</v>
      </c>
      <c r="I31" s="37">
        <f>B40</f>
        <v>276.7</v>
      </c>
      <c r="J31" t="s">
        <v>100</v>
      </c>
      <c r="K31" s="37">
        <f>B4</f>
        <v>270</v>
      </c>
      <c r="L31" s="37">
        <f>I31-K31</f>
        <v>6.6999999999999886</v>
      </c>
    </row>
    <row r="32" spans="1:12" x14ac:dyDescent="0.25">
      <c r="A32" s="24" t="s">
        <v>29</v>
      </c>
      <c r="B32" s="25"/>
      <c r="C32" s="25"/>
      <c r="D32" s="25"/>
      <c r="E32" s="25"/>
      <c r="F32" s="25"/>
      <c r="H32" t="s">
        <v>101</v>
      </c>
      <c r="I32" s="37">
        <f>C16</f>
        <v>0</v>
      </c>
    </row>
    <row r="33" spans="1:12" x14ac:dyDescent="0.25">
      <c r="A33" s="7" t="s">
        <v>31</v>
      </c>
      <c r="B33" s="21">
        <f>B7</f>
        <v>115</v>
      </c>
      <c r="H33" t="s">
        <v>102</v>
      </c>
      <c r="I33" s="37">
        <f>D30</f>
        <v>500</v>
      </c>
    </row>
    <row r="34" spans="1:12" ht="15.75" x14ac:dyDescent="0.25">
      <c r="A34" s="7" t="s">
        <v>32</v>
      </c>
      <c r="B34" s="21">
        <f>D16</f>
        <v>0</v>
      </c>
      <c r="H34" t="s">
        <v>103</v>
      </c>
      <c r="I34" s="42">
        <f>B47</f>
        <v>500</v>
      </c>
    </row>
    <row r="35" spans="1:12" x14ac:dyDescent="0.25">
      <c r="A35" s="7" t="s">
        <v>30</v>
      </c>
      <c r="B35" s="21">
        <f>B6</f>
        <v>4170</v>
      </c>
      <c r="H35" t="s">
        <v>38</v>
      </c>
      <c r="I35" s="37">
        <f>B41</f>
        <v>0</v>
      </c>
    </row>
    <row r="36" spans="1:12" x14ac:dyDescent="0.25">
      <c r="A36" s="7" t="s">
        <v>33</v>
      </c>
      <c r="B36" s="21">
        <f>E16</f>
        <v>0</v>
      </c>
    </row>
    <row r="37" spans="1:12" ht="15.75" x14ac:dyDescent="0.25">
      <c r="A37" s="7" t="s">
        <v>34</v>
      </c>
      <c r="B37" s="21">
        <f>E30</f>
        <v>12000</v>
      </c>
      <c r="H37" s="43" t="s">
        <v>104</v>
      </c>
      <c r="I37" s="33"/>
      <c r="J37" s="33"/>
      <c r="K37" s="33"/>
      <c r="L37" s="33"/>
    </row>
    <row r="38" spans="1:12" x14ac:dyDescent="0.25">
      <c r="A38" s="9" t="s">
        <v>35</v>
      </c>
      <c r="B38" s="22">
        <f>B35+B36+B37</f>
        <v>16170</v>
      </c>
      <c r="H38" s="37" t="s">
        <v>105</v>
      </c>
      <c r="I38" t="s">
        <v>106</v>
      </c>
    </row>
    <row r="39" spans="1:12" x14ac:dyDescent="0.25">
      <c r="A39" s="7" t="s">
        <v>36</v>
      </c>
      <c r="B39" s="21">
        <f>B38/B5</f>
        <v>161.69999999999999</v>
      </c>
      <c r="H39" s="37" t="s">
        <v>107</v>
      </c>
      <c r="I39" t="s">
        <v>108</v>
      </c>
    </row>
    <row r="40" spans="1:12" x14ac:dyDescent="0.25">
      <c r="A40" s="9" t="s">
        <v>37</v>
      </c>
      <c r="B40" s="23">
        <f>B33+B34+B39</f>
        <v>276.7</v>
      </c>
      <c r="H40" s="37" t="s">
        <v>109</v>
      </c>
    </row>
    <row r="41" spans="1:12" x14ac:dyDescent="0.25">
      <c r="A41" s="7" t="s">
        <v>38</v>
      </c>
      <c r="B41" s="21">
        <f>B38-B39*B5</f>
        <v>0</v>
      </c>
      <c r="H41" s="37" t="s">
        <v>110</v>
      </c>
      <c r="I41" t="s">
        <v>111</v>
      </c>
    </row>
    <row r="42" spans="1:12" x14ac:dyDescent="0.25">
      <c r="A42" s="7"/>
      <c r="H42" s="37" t="s">
        <v>112</v>
      </c>
      <c r="I42" t="s">
        <v>113</v>
      </c>
    </row>
    <row r="43" spans="1:12" ht="15.75" x14ac:dyDescent="0.25">
      <c r="A43" s="26" t="s">
        <v>39</v>
      </c>
      <c r="B43" s="27">
        <f>B4-B40</f>
        <v>-6.6999999999999886</v>
      </c>
      <c r="H43" s="37" t="s">
        <v>114</v>
      </c>
      <c r="I43" t="s">
        <v>115</v>
      </c>
    </row>
    <row r="44" spans="1:12" ht="15.75" x14ac:dyDescent="0.25">
      <c r="A44" s="26" t="s">
        <v>40</v>
      </c>
      <c r="B44" s="27">
        <f>B43*B5</f>
        <v>-669.99999999999886</v>
      </c>
      <c r="H44" s="37" t="s">
        <v>116</v>
      </c>
      <c r="I44" t="s">
        <v>117</v>
      </c>
    </row>
    <row r="45" spans="1:12" x14ac:dyDescent="0.25">
      <c r="H45" s="37" t="s">
        <v>118</v>
      </c>
      <c r="I45" t="s">
        <v>120</v>
      </c>
    </row>
    <row r="46" spans="1:12" ht="15.75" x14ac:dyDescent="0.25">
      <c r="A46" s="28" t="s">
        <v>41</v>
      </c>
      <c r="B46" s="6"/>
      <c r="H46" s="44" t="s">
        <v>119</v>
      </c>
    </row>
    <row r="47" spans="1:12" ht="15.75" x14ac:dyDescent="0.25">
      <c r="A47" s="29" t="s">
        <v>42</v>
      </c>
      <c r="B47" s="30">
        <f>C16+D30</f>
        <v>500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3A880-4746-4A40-A2A4-FFC6F4897FC4}">
  <dimension ref="A1:F30"/>
  <sheetViews>
    <sheetView workbookViewId="0">
      <selection activeCell="E16" sqref="E16"/>
    </sheetView>
  </sheetViews>
  <sheetFormatPr defaultRowHeight="15" x14ac:dyDescent="0.25"/>
  <cols>
    <col min="2" max="2" width="26" customWidth="1"/>
    <col min="3" max="3" width="7.42578125" customWidth="1"/>
    <col min="4" max="4" width="12" customWidth="1"/>
    <col min="6" max="6" width="14.42578125" customWidth="1"/>
  </cols>
  <sheetData>
    <row r="1" spans="1:6" x14ac:dyDescent="0.25">
      <c r="A1" t="s">
        <v>9</v>
      </c>
      <c r="B1" t="s">
        <v>2</v>
      </c>
      <c r="C1" t="s">
        <v>8</v>
      </c>
      <c r="D1" t="s">
        <v>0</v>
      </c>
      <c r="E1" t="s">
        <v>1</v>
      </c>
      <c r="F1" t="s">
        <v>3</v>
      </c>
    </row>
    <row r="2" spans="1:6" x14ac:dyDescent="0.25">
      <c r="A2">
        <v>1</v>
      </c>
      <c r="D2" s="1">
        <v>500</v>
      </c>
      <c r="E2" s="2">
        <v>8000</v>
      </c>
      <c r="F2" s="3">
        <f>IFERROR(D2/E2,"")</f>
        <v>6.25E-2</v>
      </c>
    </row>
    <row r="3" spans="1:6" x14ac:dyDescent="0.25">
      <c r="A3">
        <v>1</v>
      </c>
      <c r="D3" s="1">
        <v>250</v>
      </c>
      <c r="E3" s="2">
        <v>3850</v>
      </c>
      <c r="F3" s="3">
        <f t="shared" ref="F3:F19" si="0">IFERROR(D3/E3,"")</f>
        <v>6.4935064935064929E-2</v>
      </c>
    </row>
    <row r="4" spans="1:6" x14ac:dyDescent="0.25">
      <c r="A4">
        <v>0</v>
      </c>
      <c r="C4">
        <v>1</v>
      </c>
      <c r="D4" s="1">
        <v>100</v>
      </c>
      <c r="E4" s="2">
        <v>2800</v>
      </c>
      <c r="F4" s="3">
        <f t="shared" si="0"/>
        <v>3.5714285714285712E-2</v>
      </c>
    </row>
    <row r="5" spans="1:6" x14ac:dyDescent="0.25">
      <c r="A5">
        <v>1</v>
      </c>
      <c r="C5">
        <v>1</v>
      </c>
      <c r="D5" s="1">
        <v>50</v>
      </c>
      <c r="E5" s="2">
        <v>1400</v>
      </c>
      <c r="F5" s="3">
        <f t="shared" si="0"/>
        <v>3.5714285714285712E-2</v>
      </c>
    </row>
    <row r="6" spans="1:6" x14ac:dyDescent="0.25">
      <c r="A6">
        <v>1</v>
      </c>
      <c r="C6">
        <v>1</v>
      </c>
      <c r="D6" s="1">
        <v>25</v>
      </c>
      <c r="E6" s="2">
        <v>700</v>
      </c>
      <c r="F6" s="3">
        <f t="shared" si="0"/>
        <v>3.5714285714285712E-2</v>
      </c>
    </row>
    <row r="7" spans="1:6" x14ac:dyDescent="0.25">
      <c r="A7">
        <v>1</v>
      </c>
      <c r="C7">
        <v>1</v>
      </c>
      <c r="D7" s="1">
        <v>5</v>
      </c>
      <c r="E7" s="2">
        <v>140</v>
      </c>
      <c r="F7" s="3">
        <f t="shared" si="0"/>
        <v>3.5714285714285712E-2</v>
      </c>
    </row>
    <row r="8" spans="1:6" x14ac:dyDescent="0.25">
      <c r="A8">
        <v>0</v>
      </c>
      <c r="B8" t="s">
        <v>4</v>
      </c>
      <c r="D8" s="1">
        <v>5</v>
      </c>
      <c r="E8" s="2">
        <v>100</v>
      </c>
      <c r="F8" s="3">
        <f t="shared" si="0"/>
        <v>0.05</v>
      </c>
    </row>
    <row r="9" spans="1:6" x14ac:dyDescent="0.25">
      <c r="A9">
        <v>1</v>
      </c>
      <c r="B9" t="s">
        <v>5</v>
      </c>
      <c r="C9">
        <v>1</v>
      </c>
      <c r="D9" s="1">
        <v>50</v>
      </c>
      <c r="E9" s="2">
        <f>(15+7)*100</f>
        <v>2200</v>
      </c>
      <c r="F9" s="3">
        <f t="shared" si="0"/>
        <v>2.2727272727272728E-2</v>
      </c>
    </row>
    <row r="10" spans="1:6" x14ac:dyDescent="0.25">
      <c r="A10">
        <v>1</v>
      </c>
      <c r="B10" t="s">
        <v>6</v>
      </c>
      <c r="C10">
        <v>1</v>
      </c>
      <c r="D10" s="1">
        <v>50</v>
      </c>
      <c r="E10" s="2">
        <f>(10+7)*100</f>
        <v>1700</v>
      </c>
      <c r="F10" s="3">
        <f t="shared" si="0"/>
        <v>2.9411764705882353E-2</v>
      </c>
    </row>
    <row r="11" spans="1:6" x14ac:dyDescent="0.25">
      <c r="A11">
        <v>1</v>
      </c>
      <c r="B11" t="s">
        <v>7</v>
      </c>
      <c r="C11">
        <v>1</v>
      </c>
      <c r="D11" s="1">
        <v>100</v>
      </c>
      <c r="E11" s="2">
        <f>(15+14)*100</f>
        <v>2900</v>
      </c>
      <c r="F11" s="3">
        <f t="shared" si="0"/>
        <v>3.4482758620689655E-2</v>
      </c>
    </row>
    <row r="12" spans="1:6" x14ac:dyDescent="0.25">
      <c r="D12" s="1"/>
      <c r="E12" s="2"/>
      <c r="F12" s="3" t="str">
        <f t="shared" si="0"/>
        <v/>
      </c>
    </row>
    <row r="13" spans="1:6" x14ac:dyDescent="0.25">
      <c r="D13" s="1"/>
      <c r="E13" s="2"/>
      <c r="F13" s="3" t="str">
        <f t="shared" si="0"/>
        <v/>
      </c>
    </row>
    <row r="14" spans="1:6" x14ac:dyDescent="0.25">
      <c r="D14" s="1"/>
      <c r="E14" s="2"/>
      <c r="F14" s="3" t="str">
        <f t="shared" si="0"/>
        <v/>
      </c>
    </row>
    <row r="15" spans="1:6" x14ac:dyDescent="0.25">
      <c r="D15" s="1"/>
      <c r="E15" s="2"/>
      <c r="F15" s="3" t="str">
        <f t="shared" si="0"/>
        <v/>
      </c>
    </row>
    <row r="16" spans="1:6" x14ac:dyDescent="0.25">
      <c r="D16" s="1">
        <f>SUMPRODUCT(A2:A11,D2:D11)</f>
        <v>1030</v>
      </c>
      <c r="E16" s="2">
        <f>SUMPRODUCT(A2:A11,E2:E11)</f>
        <v>20890</v>
      </c>
      <c r="F16" s="3">
        <f t="shared" si="0"/>
        <v>4.9305887984681669E-2</v>
      </c>
    </row>
    <row r="17" spans="4:6" x14ac:dyDescent="0.25">
      <c r="D17" s="1"/>
      <c r="E17" s="2"/>
      <c r="F17" s="3" t="str">
        <f t="shared" si="0"/>
        <v/>
      </c>
    </row>
    <row r="18" spans="4:6" x14ac:dyDescent="0.25">
      <c r="D18" s="1"/>
      <c r="E18" s="2"/>
      <c r="F18" s="3" t="str">
        <f t="shared" si="0"/>
        <v/>
      </c>
    </row>
    <row r="19" spans="4:6" x14ac:dyDescent="0.25">
      <c r="D19" s="1"/>
      <c r="E19" s="2"/>
      <c r="F19" s="3" t="str">
        <f t="shared" si="0"/>
        <v/>
      </c>
    </row>
    <row r="20" spans="4:6" x14ac:dyDescent="0.25">
      <c r="D20" s="1"/>
      <c r="E20" s="2"/>
      <c r="F20" s="3"/>
    </row>
    <row r="21" spans="4:6" x14ac:dyDescent="0.25">
      <c r="D21" s="1"/>
      <c r="E21" s="2"/>
      <c r="F21" s="3"/>
    </row>
    <row r="22" spans="4:6" x14ac:dyDescent="0.25">
      <c r="D22" s="1"/>
      <c r="E22" s="2"/>
      <c r="F22" s="3"/>
    </row>
    <row r="23" spans="4:6" x14ac:dyDescent="0.25">
      <c r="D23" s="1"/>
      <c r="E23" s="2"/>
      <c r="F23" s="3"/>
    </row>
    <row r="24" spans="4:6" x14ac:dyDescent="0.25">
      <c r="D24" s="1"/>
      <c r="E24" s="2"/>
      <c r="F24" s="3"/>
    </row>
    <row r="25" spans="4:6" x14ac:dyDescent="0.25">
      <c r="D25" s="1"/>
      <c r="E25" s="2"/>
      <c r="F25" s="3"/>
    </row>
    <row r="26" spans="4:6" x14ac:dyDescent="0.25">
      <c r="E26" s="2"/>
      <c r="F26" s="3"/>
    </row>
    <row r="27" spans="4:6" x14ac:dyDescent="0.25">
      <c r="E27" s="2"/>
      <c r="F27" s="3"/>
    </row>
    <row r="28" spans="4:6" x14ac:dyDescent="0.25">
      <c r="E28" s="2"/>
      <c r="F28" s="4"/>
    </row>
    <row r="29" spans="4:6" x14ac:dyDescent="0.25">
      <c r="E29" s="2"/>
      <c r="F29" s="4"/>
    </row>
    <row r="30" spans="4:6" x14ac:dyDescent="0.25">
      <c r="E30" s="2"/>
      <c r="F30" s="4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Backup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Ávila</dc:creator>
  <cp:lastModifiedBy>Henry Ávila</cp:lastModifiedBy>
  <dcterms:created xsi:type="dcterms:W3CDTF">2026-02-24T11:47:57Z</dcterms:created>
  <dcterms:modified xsi:type="dcterms:W3CDTF">2026-02-26T11:56:28Z</dcterms:modified>
</cp:coreProperties>
</file>